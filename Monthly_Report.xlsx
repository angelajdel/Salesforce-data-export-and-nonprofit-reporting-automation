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ients" sheetId="2" state="visible" r:id="rId4"/>
    <sheet name="Donors" sheetId="3" state="visible" r:id="rId5"/>
    <sheet name="Data Cleanup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<sst xmlns="http://schemas.openxmlformats.org/spreadsheetml/2006/main" count="275" uniqueCount="207">
  <si>
    <t xml:space="preserve">Monthly Impact Dashboard</t>
  </si>
  <si>
    <t xml:space="preserve">Auto-generated from cleaned Salesforce export</t>
  </si>
  <si>
    <t xml:space="preserve">Active Clients</t>
  </si>
  <si>
    <t xml:space="preserve">Total Clients (all statuses)</t>
  </si>
  <si>
    <t xml:space="preserve">Total Raised This Period</t>
  </si>
  <si>
    <t xml:space="preserve">Number of Donors</t>
  </si>
  <si>
    <t xml:space="preserve">Test Records Removed</t>
  </si>
  <si>
    <t xml:space="preserve">Duplicates Removed</t>
  </si>
  <si>
    <t xml:space="preserve">Clients by Program</t>
  </si>
  <si>
    <t xml:space="preserve">Program</t>
  </si>
  <si>
    <t xml:space="preserve">Client Count</t>
  </si>
  <si>
    <t xml:space="preserve">Food Security</t>
  </si>
  <si>
    <t xml:space="preserve">Housing Assistance</t>
  </si>
  <si>
    <t xml:space="preserve">Job Training</t>
  </si>
  <si>
    <t xml:space="preserve">Youth Mentorship</t>
  </si>
  <si>
    <t xml:space="preserve">Donations by Campaign</t>
  </si>
  <si>
    <t xml:space="preserve">Campaign</t>
  </si>
  <si>
    <t xml:space="preserve">Total Raised</t>
  </si>
  <si>
    <t xml:space="preserve">Corporate Match</t>
  </si>
  <si>
    <t xml:space="preserve">General Fund</t>
  </si>
  <si>
    <t xml:space="preserve">Major Gifts</t>
  </si>
  <si>
    <t xml:space="preserve">Winter Appeal</t>
  </si>
  <si>
    <t xml:space="preserve">Client Roster</t>
  </si>
  <si>
    <t xml:space="preserve">Client ID</t>
  </si>
  <si>
    <t xml:space="preserve">First Name</t>
  </si>
  <si>
    <t xml:space="preserve">Last Name</t>
  </si>
  <si>
    <t xml:space="preserve">Email</t>
  </si>
  <si>
    <t xml:space="preserve">Phone</t>
  </si>
  <si>
    <t xml:space="preserve">Enrollment Date</t>
  </si>
  <si>
    <t xml:space="preserve">Status</t>
  </si>
  <si>
    <t xml:space="preserve">003A1B2C001</t>
  </si>
  <si>
    <t xml:space="preserve">Maria</t>
  </si>
  <si>
    <t xml:space="preserve">Gonzalez</t>
  </si>
  <si>
    <t xml:space="preserve">maria.gonzalez@email.com</t>
  </si>
  <si>
    <t xml:space="preserve">555-0142</t>
  </si>
  <si>
    <t xml:space="preserve">2026-01-08</t>
  </si>
  <si>
    <t xml:space="preserve">Active</t>
  </si>
  <si>
    <t xml:space="preserve">003A1B2C002</t>
  </si>
  <si>
    <t xml:space="preserve">James</t>
  </si>
  <si>
    <t xml:space="preserve">Whitfield</t>
  </si>
  <si>
    <t xml:space="preserve">jwhitfield@email.com</t>
  </si>
  <si>
    <t xml:space="preserve">555-0198</t>
  </si>
  <si>
    <t xml:space="preserve">2026-01-10</t>
  </si>
  <si>
    <t xml:space="preserve">003A1B2C003</t>
  </si>
  <si>
    <t xml:space="preserve">Aisha</t>
  </si>
  <si>
    <t xml:space="preserve">Patel</t>
  </si>
  <si>
    <t xml:space="preserve">aisha.patel@email.com</t>
  </si>
  <si>
    <t xml:space="preserve">555-0233</t>
  </si>
  <si>
    <t xml:space="preserve">2026-01-12</t>
  </si>
  <si>
    <t xml:space="preserve">003A1B2C004</t>
  </si>
  <si>
    <t xml:space="preserve">Devon</t>
  </si>
  <si>
    <t xml:space="preserve">Carter</t>
  </si>
  <si>
    <t xml:space="preserve">devon.carter@email.com</t>
  </si>
  <si>
    <t xml:space="preserve">555-0287</t>
  </si>
  <si>
    <t xml:space="preserve">2026-01-15</t>
  </si>
  <si>
    <t xml:space="preserve">Completed</t>
  </si>
  <si>
    <t xml:space="preserve">003A1B2C005</t>
  </si>
  <si>
    <t xml:space="preserve">Linh</t>
  </si>
  <si>
    <t xml:space="preserve">Nguyen</t>
  </si>
  <si>
    <t xml:space="preserve">linh.nguyen@email.com</t>
  </si>
  <si>
    <t xml:space="preserve">555-0311</t>
  </si>
  <si>
    <t xml:space="preserve">2026-01-18</t>
  </si>
  <si>
    <t xml:space="preserve">003DEMO002</t>
  </si>
  <si>
    <t xml:space="preserve">Sample</t>
  </si>
  <si>
    <t xml:space="preserve">Client</t>
  </si>
  <si>
    <t xml:space="preserve">demo@example.com</t>
  </si>
  <si>
    <t xml:space="preserve">555-0000</t>
  </si>
  <si>
    <t xml:space="preserve">2026-01-20</t>
  </si>
  <si>
    <t xml:space="preserve">003A1B2C006</t>
  </si>
  <si>
    <t xml:space="preserve">Robert</t>
  </si>
  <si>
    <t xml:space="preserve">Kim</t>
  </si>
  <si>
    <t xml:space="preserve">robert.kim@email.com</t>
  </si>
  <si>
    <t xml:space="preserve">555-0356</t>
  </si>
  <si>
    <t xml:space="preserve">2026-01-22</t>
  </si>
  <si>
    <t xml:space="preserve">003A1B2C007</t>
  </si>
  <si>
    <t xml:space="preserve">Fatima</t>
  </si>
  <si>
    <t xml:space="preserve">Al-Sayed</t>
  </si>
  <si>
    <t xml:space="preserve">fatima.alsayed@email.com</t>
  </si>
  <si>
    <t xml:space="preserve">555-0399</t>
  </si>
  <si>
    <t xml:space="preserve">2026-01-25</t>
  </si>
  <si>
    <t xml:space="preserve">003A1B2C008</t>
  </si>
  <si>
    <t xml:space="preserve">Marcus</t>
  </si>
  <si>
    <t xml:space="preserve">Johnson</t>
  </si>
  <si>
    <t xml:space="preserve">marcus.johnson@email.com</t>
  </si>
  <si>
    <t xml:space="preserve">555-0421</t>
  </si>
  <si>
    <t xml:space="preserve">2026-01-28</t>
  </si>
  <si>
    <t xml:space="preserve">003A1B2C009</t>
  </si>
  <si>
    <t xml:space="preserve">Elena</t>
  </si>
  <si>
    <t xml:space="preserve">Rossi</t>
  </si>
  <si>
    <t xml:space="preserve">elena.rossi@email.com</t>
  </si>
  <si>
    <t xml:space="preserve">555-0455</t>
  </si>
  <si>
    <t xml:space="preserve">2026-02-02</t>
  </si>
  <si>
    <t xml:space="preserve">003A1B2C010</t>
  </si>
  <si>
    <t xml:space="preserve">Samuel</t>
  </si>
  <si>
    <t xml:space="preserve">Owusu</t>
  </si>
  <si>
    <t xml:space="preserve">samuel.owusu@email.com</t>
  </si>
  <si>
    <t xml:space="preserve">555-0487</t>
  </si>
  <si>
    <t xml:space="preserve">2026-02-05</t>
  </si>
  <si>
    <t xml:space="preserve">003A1B2C011</t>
  </si>
  <si>
    <t xml:space="preserve">Priya</t>
  </si>
  <si>
    <t xml:space="preserve">Sharma</t>
  </si>
  <si>
    <t xml:space="preserve">priya.sharma@email.com</t>
  </si>
  <si>
    <t xml:space="preserve">555-0512</t>
  </si>
  <si>
    <t xml:space="preserve">2026-02-09</t>
  </si>
  <si>
    <t xml:space="preserve">003A1B2C012</t>
  </si>
  <si>
    <t xml:space="preserve">Tyler</t>
  </si>
  <si>
    <t xml:space="preserve">Brooks</t>
  </si>
  <si>
    <t xml:space="preserve">tyler.brooks@email.com</t>
  </si>
  <si>
    <t xml:space="preserve">555-0548</t>
  </si>
  <si>
    <t xml:space="preserve">2026-02-11</t>
  </si>
  <si>
    <t xml:space="preserve">003A1B2C013</t>
  </si>
  <si>
    <t xml:space="preserve">Nadia</t>
  </si>
  <si>
    <t xml:space="preserve">Ibrahim</t>
  </si>
  <si>
    <t xml:space="preserve">nadia.ibrahim@email.com</t>
  </si>
  <si>
    <t xml:space="preserve">555-0576</t>
  </si>
  <si>
    <t xml:space="preserve">2026-02-16</t>
  </si>
  <si>
    <t xml:space="preserve">003A1B2C014</t>
  </si>
  <si>
    <t xml:space="preserve">Carlos</t>
  </si>
  <si>
    <t xml:space="preserve">Mendez</t>
  </si>
  <si>
    <t xml:space="preserve">carlos.mendez@email.com</t>
  </si>
  <si>
    <t xml:space="preserve">555-0601</t>
  </si>
  <si>
    <t xml:space="preserve">2026-02-19</t>
  </si>
  <si>
    <t xml:space="preserve">003A1B2C015</t>
  </si>
  <si>
    <t xml:space="preserve">Grace</t>
  </si>
  <si>
    <t xml:space="preserve">Okafor</t>
  </si>
  <si>
    <t xml:space="preserve">grace.okafor@email.com</t>
  </si>
  <si>
    <t xml:space="preserve">555-0634</t>
  </si>
  <si>
    <t xml:space="preserve">2026-02-22</t>
  </si>
  <si>
    <t xml:space="preserve">Donor Log</t>
  </si>
  <si>
    <t xml:space="preserve">Donor ID</t>
  </si>
  <si>
    <t xml:space="preserve">Donor Name</t>
  </si>
  <si>
    <t xml:space="preserve">Amount</t>
  </si>
  <si>
    <t xml:space="preserve">Close Date</t>
  </si>
  <si>
    <t xml:space="preserve">Donation Type</t>
  </si>
  <si>
    <t xml:space="preserve">006B1C2D001</t>
  </si>
  <si>
    <t xml:space="preserve">Harold Whitmore</t>
  </si>
  <si>
    <t xml:space="preserve">harold.whitmore@email.com</t>
  </si>
  <si>
    <t xml:space="preserve">2026-01-06</t>
  </si>
  <si>
    <t xml:space="preserve">One-Time</t>
  </si>
  <si>
    <t xml:space="preserve">006B1C2D002</t>
  </si>
  <si>
    <t xml:space="preserve">Susan Lee</t>
  </si>
  <si>
    <t xml:space="preserve">susan.lee@email.com</t>
  </si>
  <si>
    <t xml:space="preserve">2026-01-09</t>
  </si>
  <si>
    <t xml:space="preserve">Monthly</t>
  </si>
  <si>
    <t xml:space="preserve">006B1C2D003</t>
  </si>
  <si>
    <t xml:space="preserve">Community Bank Foundation</t>
  </si>
  <si>
    <t xml:space="preserve">giving@communitybank.org</t>
  </si>
  <si>
    <t xml:space="preserve">2026-01-11</t>
  </si>
  <si>
    <t xml:space="preserve">006B1C2D004</t>
  </si>
  <si>
    <t xml:space="preserve">Patricia Nguyen</t>
  </si>
  <si>
    <t xml:space="preserve">patricia.nguyen@email.com</t>
  </si>
  <si>
    <t xml:space="preserve">2026-01-14</t>
  </si>
  <si>
    <t xml:space="preserve">006B1C2D005</t>
  </si>
  <si>
    <t xml:space="preserve">Michael O'Brien</t>
  </si>
  <si>
    <t xml:space="preserve">michael.obrien@email.com</t>
  </si>
  <si>
    <t xml:space="preserve">2026-01-17</t>
  </si>
  <si>
    <t xml:space="preserve">006DEMO001</t>
  </si>
  <si>
    <t xml:space="preserve">Demo Donor</t>
  </si>
  <si>
    <t xml:space="preserve">demo.donor@example.com</t>
  </si>
  <si>
    <t xml:space="preserve">006B1C2D006</t>
  </si>
  <si>
    <t xml:space="preserve">Rachel Adams</t>
  </si>
  <si>
    <t xml:space="preserve">rachel.adams@email.com</t>
  </si>
  <si>
    <t xml:space="preserve">2026-01-23</t>
  </si>
  <si>
    <t xml:space="preserve">006B1C2D007</t>
  </si>
  <si>
    <t xml:space="preserve">TheFord Family Trust</t>
  </si>
  <si>
    <t xml:space="preserve">contact@fordtrust.org</t>
  </si>
  <si>
    <t xml:space="preserve">2026-01-26</t>
  </si>
  <si>
    <t xml:space="preserve">006B1C2D008</t>
  </si>
  <si>
    <t xml:space="preserve">Kevin Park</t>
  </si>
  <si>
    <t xml:space="preserve">kevin.park@email.com</t>
  </si>
  <si>
    <t xml:space="preserve">2026-01-29</t>
  </si>
  <si>
    <t xml:space="preserve">006B1C2D009</t>
  </si>
  <si>
    <t xml:space="preserve">Diane Foster</t>
  </si>
  <si>
    <t xml:space="preserve">diane.foster@email.com</t>
  </si>
  <si>
    <t xml:space="preserve">2026-02-03</t>
  </si>
  <si>
    <t xml:space="preserve">006B1C2D010</t>
  </si>
  <si>
    <t xml:space="preserve">Anthony Ruiz</t>
  </si>
  <si>
    <t xml:space="preserve">anthony.ruiz@email.com</t>
  </si>
  <si>
    <t xml:space="preserve">2026-02-06</t>
  </si>
  <si>
    <t xml:space="preserve">006B1C2D011</t>
  </si>
  <si>
    <t xml:space="preserve">Lakeside Rotary Club</t>
  </si>
  <si>
    <t xml:space="preserve">info@lakesiderotary.org</t>
  </si>
  <si>
    <t xml:space="preserve">2026-02-10</t>
  </si>
  <si>
    <t xml:space="preserve">006B1C2D012</t>
  </si>
  <si>
    <t xml:space="preserve">Ellen Marsh</t>
  </si>
  <si>
    <t xml:space="preserve">ellen.marsh@email.com</t>
  </si>
  <si>
    <t xml:space="preserve">2026-02-17</t>
  </si>
  <si>
    <t xml:space="preserve">006B1C2D013</t>
  </si>
  <si>
    <t xml:space="preserve">George Thompson</t>
  </si>
  <si>
    <t xml:space="preserve">george.thompson@email.com</t>
  </si>
  <si>
    <t xml:space="preserve">2026-02-20</t>
  </si>
  <si>
    <t xml:space="preserve">006B1C2D014</t>
  </si>
  <si>
    <t xml:space="preserve">Natalie Brooks</t>
  </si>
  <si>
    <t xml:space="preserve">natalie.brooks@email.com</t>
  </si>
  <si>
    <t xml:space="preserve">2026-02-23</t>
  </si>
  <si>
    <t xml:space="preserve">006B1C2D015</t>
  </si>
  <si>
    <t xml:space="preserve">Riverside Auto Group</t>
  </si>
  <si>
    <t xml:space="preserve">giving@riversideauto.com</t>
  </si>
  <si>
    <t xml:space="preserve">2026-02-26</t>
  </si>
  <si>
    <t xml:space="preserve">Data Cleanup Log</t>
  </si>
  <si>
    <t xml:space="preserve">Records excluded from this report and why</t>
  </si>
  <si>
    <t xml:space="preserve">CLIENTS</t>
  </si>
  <si>
    <t xml:space="preserve">Total rows in export</t>
  </si>
  <si>
    <t xml:space="preserve">Test records removed (ID contains 'TEST')</t>
  </si>
  <si>
    <t xml:space="preserve">Duplicate records removed</t>
  </si>
  <si>
    <t xml:space="preserve">Clean rows remaining</t>
  </si>
  <si>
    <t xml:space="preserve">DONORS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</si>
</sst>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Clients by Program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Dashboard!B21</c:f>
              <c:strCache>
                <c:ptCount val="1"/>
                <c:pt idx="0">
                  <c:v>Client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Dashboard!$A$22:$A$25</c:f>
              <c:strCache>
                <c:ptCount val="4"/>
                <c:pt idx="0">
                  <c:v>Food Security</c:v>
                </c:pt>
                <c:pt idx="1">
                  <c:v>Housing Assistance</c:v>
                </c:pt>
                <c:pt idx="2">
                  <c:v>Job Training</c:v>
                </c:pt>
                <c:pt idx="3">
                  <c:v>Youth Mentorship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65494657"/>
        <c:axId val="22559165"/>
      </c:barChart>
      <c:catAx>
        <c:axId val="65494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59165"/>
        <c:crosses val="autoZero"/>
        <c:auto val="1"/>
        <c:lblAlgn val="ctr"/>
        <c:lblOffset val="100"/>
        <c:noMultiLvlLbl val="0"/>
      </c:catAx>
      <c:valAx>
        <c:axId val="22559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946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Donations by Campaign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Dashboard!B33</c:f>
              <c:strCache>
                <c:ptCount val="1"/>
                <c:pt idx="0">
                  <c:v>Total Raised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Dashboard!$A$34:$A$37</c:f>
              <c:strCache>
                <c:ptCount val="4"/>
                <c:pt idx="0">
                  <c:v>Corporate Match</c:v>
                </c:pt>
                <c:pt idx="1">
                  <c:v>General Fund</c:v>
                </c:pt>
                <c:pt idx="2">
                  <c:v>Major Gifts</c:v>
                </c:pt>
                <c:pt idx="3">
                  <c:v>Winter Appeal</c:v>
                </c:pt>
              </c:strCache>
            </c:strRef>
          </c:cat>
          <c:val>
            <c:numRef>
              <c:f>Dashboard!$B$34:$B$37</c:f>
              <c:numCache>
                <c:formatCode>\$#,##0</c:formatCode>
                <c:ptCount val="4"/>
                <c:pt idx="0">
                  <c:v>22500</c:v>
                </c:pt>
                <c:pt idx="1">
                  <c:v>1395</c:v>
                </c:pt>
                <c:pt idx="2">
                  <c:v>16800</c:v>
                </c:pt>
                <c:pt idx="3">
                  <c:v>4550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16</xdr:row>
      <xdr:rowOff>32400</xdr:rowOff>
    </xdr:from>
    <xdr:to>
      <xdr:col>8</xdr:col>
      <xdr:colOff>292680</xdr:colOff>
      <xdr:row>31</xdr:row>
      <xdr:rowOff>54360</xdr:rowOff>
    </xdr:to>
    <xdr:graphicFrame>
      <xdr:nvGraphicFramePr>
        <xdr:cNvPr id="0" name="Chart 1"/>
        <xdr:cNvGraphicFramePr/>
      </xdr:nvGraphicFramePr>
      <xdr:xfrm>
        <a:off x="352440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28</xdr:row>
      <xdr:rowOff>32400</xdr:rowOff>
    </xdr:from>
    <xdr:to>
      <xdr:col>8</xdr:col>
      <xdr:colOff>292680</xdr:colOff>
      <xdr:row>43</xdr:row>
      <xdr:rowOff>54360</xdr:rowOff>
    </xdr:to>
    <xdr:graphicFrame>
      <xdr:nvGraphicFramePr>
        <xdr:cNvPr id="1" name="Chart 2"/>
        <xdr:cNvGraphicFramePr/>
      </xdr:nvGraphicFramePr>
      <xdr:xfrm>
        <a:off x="3524400" y="5905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ClientRoster" displayName="Tbl_ClientRoster" ref="A3:H19" headerRowCount="1" totalsRowCount="0" totalsRowShown="0">
  <autoFilter ref="A3:H19"/>
  <tableColumns count="8">
    <tableColumn id="1" name="Client ID"/>
    <tableColumn id="2" name="First Name"/>
    <tableColumn id="3" name="Last Name"/>
    <tableColumn id="4" name="Email"/>
    <tableColumn id="5" name="Phone"/>
    <tableColumn id="6" name="Program"/>
    <tableColumn id="7" name="Enrollment Date"/>
    <tableColumn id="8" name="Status"/>
  </tableColumns>
</table>
</file>

<file path=xl/tables/table2.xml><?xml version="1.0" encoding="utf-8"?>
<table xmlns="http://schemas.openxmlformats.org/spreadsheetml/2006/main" id="2" name="Tbl_DonorLog" displayName="Tbl_DonorLog" ref="A3:G19" headerRowCount="1" totalsRowCount="0" totalsRowShown="0">
  <autoFilter ref="A3:G19"/>
  <tableColumns count="7">
    <tableColumn id="1" name="Donor ID"/>
    <tableColumn id="2" name="Donor Name"/>
    <tableColumn id="3" name="Email"/>
    <tableColumn id="4" name="Amount"/>
    <tableColumn id="5" name="Close Date"/>
    <tableColumn id="6" name="Campaign"/>
    <tableColumn id="7" name="Donation Typ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5" customFormat="false" ht="15" hidden="false" customHeight="false" outlineLevel="0" collapsed="false">
      <c r="B5" s="3" t="s">
        <v>2</v>
      </c>
      <c r="D5" s="3" t="s">
        <v>3</v>
      </c>
    </row>
    <row r="6" customFormat="false" ht="26.8" hidden="false" customHeight="false" outlineLevel="0" collapsed="false">
      <c r="B6" s="4" t="n">
        <f aca="false">COUNTIF(Clients!H:H,"Active")</f>
        <v>14</v>
      </c>
      <c r="D6" s="4" t="n">
        <f aca="false">COUNTA(Clients!A4:A10000)</f>
        <v>16</v>
      </c>
    </row>
    <row r="10" customFormat="false" ht="15" hidden="false" customHeight="false" outlineLevel="0" collapsed="false">
      <c r="B10" s="3" t="s">
        <v>4</v>
      </c>
      <c r="D10" s="3" t="s">
        <v>5</v>
      </c>
    </row>
    <row r="11" customFormat="false" ht="26.8" hidden="false" customHeight="false" outlineLevel="0" collapsed="false">
      <c r="B11" s="4" t="n">
        <f aca="false">SUM(Donors!D:D)</f>
        <v>45245</v>
      </c>
      <c r="D11" s="4" t="n">
        <f aca="false">COUNTA(Donors!A4:A10000)</f>
        <v>16</v>
      </c>
    </row>
    <row r="15" customFormat="false" ht="15" hidden="false" customHeight="false" outlineLevel="0" collapsed="false">
      <c r="B15" s="3" t="s">
        <v>6</v>
      </c>
      <c r="D15" s="3" t="s">
        <v>7</v>
      </c>
    </row>
    <row r="16" customFormat="false" ht="26.8" hidden="false" customHeight="false" outlineLevel="0" collapsed="false">
      <c r="B16" s="4" t="n">
        <v>4</v>
      </c>
      <c r="D16" s="4" t="n">
        <v>4</v>
      </c>
    </row>
    <row r="20" customFormat="false" ht="15" hidden="false" customHeight="false" outlineLevel="0" collapsed="false">
      <c r="A20" s="5" t="s">
        <v>8</v>
      </c>
    </row>
    <row r="21" customFormat="false" ht="15" hidden="false" customHeight="false" outlineLevel="0" collapsed="false">
      <c r="A21" s="6" t="s">
        <v>9</v>
      </c>
      <c r="B21" s="6" t="s">
        <v>10</v>
      </c>
    </row>
    <row r="22" customFormat="false" ht="15" hidden="false" customHeight="false" outlineLevel="0" collapsed="false">
      <c r="A22" s="7" t="s">
        <v>11</v>
      </c>
      <c r="B22" s="7" t="n">
        <f aca="false">COUNTIF(Clients!F:F,"Food Security")</f>
        <v>4</v>
      </c>
    </row>
    <row r="23" customFormat="false" ht="15" hidden="false" customHeight="false" outlineLevel="0" collapsed="false">
      <c r="A23" s="7" t="s">
        <v>12</v>
      </c>
      <c r="B23" s="7" t="n">
        <f aca="false">COUNTIF(Clients!F:F,"Housing Assistance")</f>
        <v>4</v>
      </c>
    </row>
    <row r="24" customFormat="false" ht="15" hidden="false" customHeight="false" outlineLevel="0" collapsed="false">
      <c r="A24" s="7" t="s">
        <v>13</v>
      </c>
      <c r="B24" s="7" t="n">
        <f aca="false">COUNTIF(Clients!F:F,"Job Training")</f>
        <v>5</v>
      </c>
    </row>
    <row r="25" customFormat="false" ht="15" hidden="false" customHeight="false" outlineLevel="0" collapsed="false">
      <c r="A25" s="7" t="s">
        <v>14</v>
      </c>
      <c r="B25" s="7" t="n">
        <f aca="false">COUNTIF(Clients!F:F,"Youth Mentorship")</f>
        <v>3</v>
      </c>
    </row>
    <row r="32" customFormat="false" ht="15" hidden="false" customHeight="false" outlineLevel="0" collapsed="false">
      <c r="A32" s="5" t="s">
        <v>15</v>
      </c>
    </row>
    <row r="33" customFormat="false" ht="15" hidden="false" customHeight="false" outlineLevel="0" collapsed="false">
      <c r="A33" s="6" t="s">
        <v>16</v>
      </c>
      <c r="B33" s="6" t="s">
        <v>17</v>
      </c>
    </row>
    <row r="34" customFormat="false" ht="15" hidden="false" customHeight="false" outlineLevel="0" collapsed="false">
      <c r="A34" s="7" t="s">
        <v>18</v>
      </c>
      <c r="B34" s="8" t="n">
        <f aca="false">SUMIF(Donors!F:F,"Corporate Match",Donors!D:D)</f>
        <v>22500</v>
      </c>
    </row>
    <row r="35" customFormat="false" ht="15" hidden="false" customHeight="false" outlineLevel="0" collapsed="false">
      <c r="A35" s="7" t="s">
        <v>19</v>
      </c>
      <c r="B35" s="8" t="n">
        <f aca="false">SUMIF(Donors!F:F,"General Fund",Donors!D:D)</f>
        <v>1395</v>
      </c>
    </row>
    <row r="36" customFormat="false" ht="15" hidden="false" customHeight="false" outlineLevel="0" collapsed="false">
      <c r="A36" s="7" t="s">
        <v>20</v>
      </c>
      <c r="B36" s="8" t="n">
        <f aca="false">SUMIF(Donors!F:F,"Major Gifts",Donors!D:D)</f>
        <v>16800</v>
      </c>
    </row>
    <row r="37" customFormat="false" ht="15" hidden="false" customHeight="false" outlineLevel="0" collapsed="false">
      <c r="A37" s="7" t="s">
        <v>21</v>
      </c>
      <c r="B37" s="8" t="n">
        <f aca="false">SUMIF(Donors!F:F,"Winter Appeal",Donors!D:D)</f>
        <v>4550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9"/>
    <col collapsed="false" customWidth="true" hidden="false" outlineLevel="0" max="8" min="8" style="0" width="13"/>
  </cols>
  <sheetData>
    <row r="1" customFormat="false" ht="22.05" hidden="false" customHeight="false" outlineLevel="0" collapsed="false">
      <c r="A1" s="9" t="s">
        <v>22</v>
      </c>
    </row>
    <row r="3" customFormat="false" ht="1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9</v>
      </c>
      <c r="G3" s="10" t="s">
        <v>28</v>
      </c>
      <c r="H3" s="10" t="s">
        <v>29</v>
      </c>
    </row>
    <row r="4" customFormat="false" ht="15" hidden="false" customHeight="false" outlineLevel="0" collapsed="false">
      <c r="A4" s="11" t="s">
        <v>30</v>
      </c>
      <c r="B4" s="11" t="s">
        <v>31</v>
      </c>
      <c r="C4" s="11" t="s">
        <v>32</v>
      </c>
      <c r="D4" s="11" t="s">
        <v>33</v>
      </c>
      <c r="E4" s="11" t="s">
        <v>34</v>
      </c>
      <c r="F4" s="11" t="s">
        <v>13</v>
      </c>
      <c r="G4" s="11" t="s">
        <v>35</v>
      </c>
      <c r="H4" s="11" t="s">
        <v>36</v>
      </c>
    </row>
    <row r="5" customFormat="false" ht="15" hidden="false" customHeight="false" outlineLevel="0" collapsed="false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2" t="s">
        <v>12</v>
      </c>
      <c r="G5" s="12" t="s">
        <v>42</v>
      </c>
      <c r="H5" s="12" t="s">
        <v>36</v>
      </c>
    </row>
    <row r="6" customFormat="false" ht="15" hidden="false" customHeight="false" outlineLevel="0" collapsed="false">
      <c r="A6" s="11" t="s">
        <v>43</v>
      </c>
      <c r="B6" s="11" t="s">
        <v>44</v>
      </c>
      <c r="C6" s="11" t="s">
        <v>45</v>
      </c>
      <c r="D6" s="11" t="s">
        <v>46</v>
      </c>
      <c r="E6" s="11" t="s">
        <v>47</v>
      </c>
      <c r="F6" s="11" t="s">
        <v>11</v>
      </c>
      <c r="G6" s="11" t="s">
        <v>48</v>
      </c>
      <c r="H6" s="11" t="s">
        <v>36</v>
      </c>
    </row>
    <row r="7" customFormat="false" ht="15" hidden="false" customHeight="false" outlineLevel="0" collapsed="false">
      <c r="A7" s="12" t="s">
        <v>49</v>
      </c>
      <c r="B7" s="12" t="s">
        <v>50</v>
      </c>
      <c r="C7" s="12" t="s">
        <v>51</v>
      </c>
      <c r="D7" s="12" t="s">
        <v>52</v>
      </c>
      <c r="E7" s="12" t="s">
        <v>53</v>
      </c>
      <c r="F7" s="12" t="s">
        <v>13</v>
      </c>
      <c r="G7" s="12" t="s">
        <v>54</v>
      </c>
      <c r="H7" s="12" t="s">
        <v>55</v>
      </c>
    </row>
    <row r="8" customFormat="false" ht="15" hidden="false" customHeight="false" outlineLevel="0" collapsed="false">
      <c r="A8" s="11" t="s">
        <v>56</v>
      </c>
      <c r="B8" s="11" t="s">
        <v>57</v>
      </c>
      <c r="C8" s="11" t="s">
        <v>58</v>
      </c>
      <c r="D8" s="11" t="s">
        <v>59</v>
      </c>
      <c r="E8" s="11" t="s">
        <v>60</v>
      </c>
      <c r="F8" s="11" t="s">
        <v>14</v>
      </c>
      <c r="G8" s="11" t="s">
        <v>61</v>
      </c>
      <c r="H8" s="11" t="s">
        <v>36</v>
      </c>
    </row>
    <row r="9" customFormat="false" ht="15" hidden="false" customHeight="false" outlineLevel="0" collapsed="false">
      <c r="A9" s="12" t="s">
        <v>62</v>
      </c>
      <c r="B9" s="12" t="s">
        <v>63</v>
      </c>
      <c r="C9" s="12" t="s">
        <v>64</v>
      </c>
      <c r="D9" s="12" t="s">
        <v>65</v>
      </c>
      <c r="E9" s="12" t="s">
        <v>66</v>
      </c>
      <c r="F9" s="12" t="s">
        <v>13</v>
      </c>
      <c r="G9" s="12" t="s">
        <v>67</v>
      </c>
      <c r="H9" s="12" t="s">
        <v>36</v>
      </c>
    </row>
    <row r="10" customFormat="false" ht="15" hidden="false" customHeight="false" outlineLevel="0" collapsed="false">
      <c r="A10" s="11" t="s">
        <v>68</v>
      </c>
      <c r="B10" s="11" t="s">
        <v>69</v>
      </c>
      <c r="C10" s="11" t="s">
        <v>70</v>
      </c>
      <c r="D10" s="11" t="s">
        <v>71</v>
      </c>
      <c r="E10" s="11" t="s">
        <v>72</v>
      </c>
      <c r="F10" s="11" t="s">
        <v>12</v>
      </c>
      <c r="G10" s="11" t="s">
        <v>73</v>
      </c>
      <c r="H10" s="11" t="s">
        <v>36</v>
      </c>
    </row>
    <row r="11" customFormat="false" ht="15" hidden="false" customHeight="false" outlineLevel="0" collapsed="false">
      <c r="A11" s="12" t="s">
        <v>74</v>
      </c>
      <c r="B11" s="12" t="s">
        <v>75</v>
      </c>
      <c r="C11" s="12" t="s">
        <v>76</v>
      </c>
      <c r="D11" s="12" t="s">
        <v>77</v>
      </c>
      <c r="E11" s="12" t="s">
        <v>78</v>
      </c>
      <c r="F11" s="12" t="s">
        <v>11</v>
      </c>
      <c r="G11" s="12" t="s">
        <v>79</v>
      </c>
      <c r="H11" s="12" t="s">
        <v>36</v>
      </c>
    </row>
    <row r="12" customFormat="false" ht="15" hidden="false" customHeight="false" outlineLevel="0" collapsed="false">
      <c r="A12" s="11" t="s">
        <v>80</v>
      </c>
      <c r="B12" s="11" t="s">
        <v>81</v>
      </c>
      <c r="C12" s="11" t="s">
        <v>82</v>
      </c>
      <c r="D12" s="11" t="s">
        <v>83</v>
      </c>
      <c r="E12" s="11" t="s">
        <v>84</v>
      </c>
      <c r="F12" s="11" t="s">
        <v>14</v>
      </c>
      <c r="G12" s="11" t="s">
        <v>85</v>
      </c>
      <c r="H12" s="11" t="s">
        <v>36</v>
      </c>
    </row>
    <row r="13" customFormat="false" ht="15" hidden="false" customHeight="false" outlineLevel="0" collapsed="false">
      <c r="A13" s="12" t="s">
        <v>86</v>
      </c>
      <c r="B13" s="12" t="s">
        <v>87</v>
      </c>
      <c r="C13" s="12" t="s">
        <v>88</v>
      </c>
      <c r="D13" s="12" t="s">
        <v>89</v>
      </c>
      <c r="E13" s="12" t="s">
        <v>90</v>
      </c>
      <c r="F13" s="12" t="s">
        <v>13</v>
      </c>
      <c r="G13" s="12" t="s">
        <v>91</v>
      </c>
      <c r="H13" s="12" t="s">
        <v>36</v>
      </c>
    </row>
    <row r="14" customFormat="false" ht="15" hidden="false" customHeight="false" outlineLevel="0" collapsed="false">
      <c r="A14" s="11" t="s">
        <v>92</v>
      </c>
      <c r="B14" s="11" t="s">
        <v>93</v>
      </c>
      <c r="C14" s="11" t="s">
        <v>94</v>
      </c>
      <c r="D14" s="11" t="s">
        <v>95</v>
      </c>
      <c r="E14" s="11" t="s">
        <v>96</v>
      </c>
      <c r="F14" s="11" t="s">
        <v>12</v>
      </c>
      <c r="G14" s="11" t="s">
        <v>97</v>
      </c>
      <c r="H14" s="11" t="s">
        <v>36</v>
      </c>
    </row>
    <row r="15" customFormat="false" ht="15" hidden="false" customHeight="false" outlineLevel="0" collapsed="false">
      <c r="A15" s="12" t="s">
        <v>98</v>
      </c>
      <c r="B15" s="12" t="s">
        <v>99</v>
      </c>
      <c r="C15" s="12" t="s">
        <v>100</v>
      </c>
      <c r="D15" s="12" t="s">
        <v>101</v>
      </c>
      <c r="E15" s="12" t="s">
        <v>102</v>
      </c>
      <c r="F15" s="12" t="s">
        <v>11</v>
      </c>
      <c r="G15" s="12" t="s">
        <v>103</v>
      </c>
      <c r="H15" s="12" t="s">
        <v>55</v>
      </c>
    </row>
    <row r="16" customFormat="false" ht="15" hidden="false" customHeight="false" outlineLevel="0" collapsed="false">
      <c r="A16" s="11" t="s">
        <v>104</v>
      </c>
      <c r="B16" s="11" t="s">
        <v>105</v>
      </c>
      <c r="C16" s="11" t="s">
        <v>106</v>
      </c>
      <c r="D16" s="11" t="s">
        <v>107</v>
      </c>
      <c r="E16" s="11" t="s">
        <v>108</v>
      </c>
      <c r="F16" s="11" t="s">
        <v>14</v>
      </c>
      <c r="G16" s="11" t="s">
        <v>109</v>
      </c>
      <c r="H16" s="11" t="s">
        <v>36</v>
      </c>
    </row>
    <row r="17" customFormat="false" ht="15" hidden="false" customHeight="false" outlineLevel="0" collapsed="false">
      <c r="A17" s="12" t="s">
        <v>110</v>
      </c>
      <c r="B17" s="12" t="s">
        <v>111</v>
      </c>
      <c r="C17" s="12" t="s">
        <v>112</v>
      </c>
      <c r="D17" s="12" t="s">
        <v>113</v>
      </c>
      <c r="E17" s="12" t="s">
        <v>114</v>
      </c>
      <c r="F17" s="12" t="s">
        <v>13</v>
      </c>
      <c r="G17" s="12" t="s">
        <v>115</v>
      </c>
      <c r="H17" s="12" t="s">
        <v>36</v>
      </c>
    </row>
    <row r="18" customFormat="false" ht="15" hidden="false" customHeight="false" outlineLevel="0" collapsed="false">
      <c r="A18" s="11" t="s">
        <v>116</v>
      </c>
      <c r="B18" s="11" t="s">
        <v>117</v>
      </c>
      <c r="C18" s="11" t="s">
        <v>118</v>
      </c>
      <c r="D18" s="11" t="s">
        <v>119</v>
      </c>
      <c r="E18" s="11" t="s">
        <v>120</v>
      </c>
      <c r="F18" s="11" t="s">
        <v>12</v>
      </c>
      <c r="G18" s="11" t="s">
        <v>121</v>
      </c>
      <c r="H18" s="11" t="s">
        <v>36</v>
      </c>
    </row>
    <row r="19" customFormat="false" ht="15" hidden="false" customHeight="false" outlineLevel="0" collapsed="false">
      <c r="A19" s="12" t="s">
        <v>122</v>
      </c>
      <c r="B19" s="12" t="s">
        <v>123</v>
      </c>
      <c r="C19" s="12" t="s">
        <v>124</v>
      </c>
      <c r="D19" s="12" t="s">
        <v>125</v>
      </c>
      <c r="E19" s="12" t="s">
        <v>126</v>
      </c>
      <c r="F19" s="12" t="s">
        <v>11</v>
      </c>
      <c r="G19" s="12" t="s">
        <v>127</v>
      </c>
      <c r="H19" s="1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29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17"/>
  </cols>
  <sheetData>
    <row r="1" customFormat="false" ht="22.05" hidden="false" customHeight="false" outlineLevel="0" collapsed="false">
      <c r="A1" s="9" t="s">
        <v>128</v>
      </c>
    </row>
    <row r="3" customFormat="false" ht="15" hidden="false" customHeight="false" outlineLevel="0" collapsed="false">
      <c r="A3" s="10" t="s">
        <v>129</v>
      </c>
      <c r="B3" s="10" t="s">
        <v>130</v>
      </c>
      <c r="C3" s="10" t="s">
        <v>26</v>
      </c>
      <c r="D3" s="10" t="s">
        <v>131</v>
      </c>
      <c r="E3" s="10" t="s">
        <v>132</v>
      </c>
      <c r="F3" s="10" t="s">
        <v>16</v>
      </c>
      <c r="G3" s="10" t="s">
        <v>133</v>
      </c>
    </row>
    <row r="4" customFormat="false" ht="15" hidden="false" customHeight="false" outlineLevel="0" collapsed="false">
      <c r="A4" s="11" t="s">
        <v>134</v>
      </c>
      <c r="B4" s="11" t="s">
        <v>135</v>
      </c>
      <c r="C4" s="11" t="s">
        <v>136</v>
      </c>
      <c r="D4" s="13" t="n">
        <v>2500</v>
      </c>
      <c r="E4" s="11" t="s">
        <v>137</v>
      </c>
      <c r="F4" s="11" t="s">
        <v>21</v>
      </c>
      <c r="G4" s="11" t="s">
        <v>138</v>
      </c>
    </row>
    <row r="5" customFormat="false" ht="15" hidden="false" customHeight="false" outlineLevel="0" collapsed="false">
      <c r="A5" s="12" t="s">
        <v>139</v>
      </c>
      <c r="B5" s="12" t="s">
        <v>140</v>
      </c>
      <c r="C5" s="12" t="s">
        <v>141</v>
      </c>
      <c r="D5" s="14" t="n">
        <v>150</v>
      </c>
      <c r="E5" s="12" t="s">
        <v>142</v>
      </c>
      <c r="F5" s="12" t="s">
        <v>19</v>
      </c>
      <c r="G5" s="12" t="s">
        <v>143</v>
      </c>
    </row>
    <row r="6" customFormat="false" ht="15" hidden="false" customHeight="false" outlineLevel="0" collapsed="false">
      <c r="A6" s="11" t="s">
        <v>144</v>
      </c>
      <c r="B6" s="11" t="s">
        <v>145</v>
      </c>
      <c r="C6" s="11" t="s">
        <v>146</v>
      </c>
      <c r="D6" s="13" t="n">
        <v>10000</v>
      </c>
      <c r="E6" s="11" t="s">
        <v>147</v>
      </c>
      <c r="F6" s="11" t="s">
        <v>18</v>
      </c>
      <c r="G6" s="11" t="s">
        <v>138</v>
      </c>
    </row>
    <row r="7" customFormat="false" ht="15" hidden="false" customHeight="false" outlineLevel="0" collapsed="false">
      <c r="A7" s="12" t="s">
        <v>148</v>
      </c>
      <c r="B7" s="12" t="s">
        <v>149</v>
      </c>
      <c r="C7" s="12" t="s">
        <v>150</v>
      </c>
      <c r="D7" s="14" t="n">
        <v>75</v>
      </c>
      <c r="E7" s="12" t="s">
        <v>151</v>
      </c>
      <c r="F7" s="12" t="s">
        <v>19</v>
      </c>
      <c r="G7" s="12" t="s">
        <v>143</v>
      </c>
    </row>
    <row r="8" customFormat="false" ht="15" hidden="false" customHeight="false" outlineLevel="0" collapsed="false">
      <c r="A8" s="11" t="s">
        <v>152</v>
      </c>
      <c r="B8" s="11" t="s">
        <v>153</v>
      </c>
      <c r="C8" s="11" t="s">
        <v>154</v>
      </c>
      <c r="D8" s="13" t="n">
        <v>1200</v>
      </c>
      <c r="E8" s="11" t="s">
        <v>155</v>
      </c>
      <c r="F8" s="11" t="s">
        <v>21</v>
      </c>
      <c r="G8" s="11" t="s">
        <v>138</v>
      </c>
    </row>
    <row r="9" customFormat="false" ht="15" hidden="false" customHeight="false" outlineLevel="0" collapsed="false">
      <c r="A9" s="12" t="s">
        <v>156</v>
      </c>
      <c r="B9" s="12" t="s">
        <v>157</v>
      </c>
      <c r="C9" s="12" t="s">
        <v>158</v>
      </c>
      <c r="D9" s="14" t="n">
        <v>100</v>
      </c>
      <c r="E9" s="12" t="s">
        <v>67</v>
      </c>
      <c r="F9" s="12" t="s">
        <v>19</v>
      </c>
      <c r="G9" s="12" t="s">
        <v>138</v>
      </c>
    </row>
    <row r="10" customFormat="false" ht="15" hidden="false" customHeight="false" outlineLevel="0" collapsed="false">
      <c r="A10" s="11" t="s">
        <v>159</v>
      </c>
      <c r="B10" s="11" t="s">
        <v>160</v>
      </c>
      <c r="C10" s="11" t="s">
        <v>161</v>
      </c>
      <c r="D10" s="13" t="n">
        <v>300</v>
      </c>
      <c r="E10" s="11" t="s">
        <v>162</v>
      </c>
      <c r="F10" s="11" t="s">
        <v>19</v>
      </c>
      <c r="G10" s="11" t="s">
        <v>143</v>
      </c>
    </row>
    <row r="11" customFormat="false" ht="15" hidden="false" customHeight="false" outlineLevel="0" collapsed="false">
      <c r="A11" s="12" t="s">
        <v>163</v>
      </c>
      <c r="B11" s="12" t="s">
        <v>164</v>
      </c>
      <c r="C11" s="12" t="s">
        <v>165</v>
      </c>
      <c r="D11" s="14" t="n">
        <v>15000</v>
      </c>
      <c r="E11" s="12" t="s">
        <v>166</v>
      </c>
      <c r="F11" s="12" t="s">
        <v>20</v>
      </c>
      <c r="G11" s="12" t="s">
        <v>138</v>
      </c>
    </row>
    <row r="12" customFormat="false" ht="15" hidden="false" customHeight="false" outlineLevel="0" collapsed="false">
      <c r="A12" s="11" t="s">
        <v>167</v>
      </c>
      <c r="B12" s="11" t="s">
        <v>168</v>
      </c>
      <c r="C12" s="11" t="s">
        <v>169</v>
      </c>
      <c r="D12" s="13" t="n">
        <v>60</v>
      </c>
      <c r="E12" s="11" t="s">
        <v>170</v>
      </c>
      <c r="F12" s="11" t="s">
        <v>19</v>
      </c>
      <c r="G12" s="11" t="s">
        <v>143</v>
      </c>
    </row>
    <row r="13" customFormat="false" ht="15" hidden="false" customHeight="false" outlineLevel="0" collapsed="false">
      <c r="A13" s="12" t="s">
        <v>171</v>
      </c>
      <c r="B13" s="12" t="s">
        <v>172</v>
      </c>
      <c r="C13" s="12" t="s">
        <v>173</v>
      </c>
      <c r="D13" s="14" t="n">
        <v>850</v>
      </c>
      <c r="E13" s="12" t="s">
        <v>174</v>
      </c>
      <c r="F13" s="12" t="s">
        <v>21</v>
      </c>
      <c r="G13" s="12" t="s">
        <v>138</v>
      </c>
    </row>
    <row r="14" customFormat="false" ht="15" hidden="false" customHeight="false" outlineLevel="0" collapsed="false">
      <c r="A14" s="11" t="s">
        <v>175</v>
      </c>
      <c r="B14" s="11" t="s">
        <v>176</v>
      </c>
      <c r="C14" s="11" t="s">
        <v>177</v>
      </c>
      <c r="D14" s="13" t="n">
        <v>220</v>
      </c>
      <c r="E14" s="11" t="s">
        <v>178</v>
      </c>
      <c r="F14" s="11" t="s">
        <v>19</v>
      </c>
      <c r="G14" s="11" t="s">
        <v>143</v>
      </c>
    </row>
    <row r="15" customFormat="false" ht="15" hidden="false" customHeight="false" outlineLevel="0" collapsed="false">
      <c r="A15" s="12" t="s">
        <v>179</v>
      </c>
      <c r="B15" s="12" t="s">
        <v>180</v>
      </c>
      <c r="C15" s="12" t="s">
        <v>181</v>
      </c>
      <c r="D15" s="14" t="n">
        <v>5000</v>
      </c>
      <c r="E15" s="12" t="s">
        <v>182</v>
      </c>
      <c r="F15" s="12" t="s">
        <v>18</v>
      </c>
      <c r="G15" s="12" t="s">
        <v>138</v>
      </c>
    </row>
    <row r="16" customFormat="false" ht="15" hidden="false" customHeight="false" outlineLevel="0" collapsed="false">
      <c r="A16" s="11" t="s">
        <v>183</v>
      </c>
      <c r="B16" s="11" t="s">
        <v>184</v>
      </c>
      <c r="C16" s="11" t="s">
        <v>185</v>
      </c>
      <c r="D16" s="13" t="n">
        <v>400</v>
      </c>
      <c r="E16" s="11" t="s">
        <v>186</v>
      </c>
      <c r="F16" s="11" t="s">
        <v>19</v>
      </c>
      <c r="G16" s="11" t="s">
        <v>143</v>
      </c>
    </row>
    <row r="17" customFormat="false" ht="15" hidden="false" customHeight="false" outlineLevel="0" collapsed="false">
      <c r="A17" s="12" t="s">
        <v>187</v>
      </c>
      <c r="B17" s="12" t="s">
        <v>188</v>
      </c>
      <c r="C17" s="12" t="s">
        <v>189</v>
      </c>
      <c r="D17" s="14" t="n">
        <v>1800</v>
      </c>
      <c r="E17" s="12" t="s">
        <v>190</v>
      </c>
      <c r="F17" s="12" t="s">
        <v>20</v>
      </c>
      <c r="G17" s="12" t="s">
        <v>138</v>
      </c>
    </row>
    <row r="18" customFormat="false" ht="15" hidden="false" customHeight="false" outlineLevel="0" collapsed="false">
      <c r="A18" s="11" t="s">
        <v>191</v>
      </c>
      <c r="B18" s="11" t="s">
        <v>192</v>
      </c>
      <c r="C18" s="11" t="s">
        <v>193</v>
      </c>
      <c r="D18" s="13" t="n">
        <v>90</v>
      </c>
      <c r="E18" s="11" t="s">
        <v>194</v>
      </c>
      <c r="F18" s="11" t="s">
        <v>19</v>
      </c>
      <c r="G18" s="11" t="s">
        <v>143</v>
      </c>
    </row>
    <row r="19" customFormat="false" ht="15" hidden="false" customHeight="false" outlineLevel="0" collapsed="false">
      <c r="A19" s="12" t="s">
        <v>195</v>
      </c>
      <c r="B19" s="12" t="s">
        <v>196</v>
      </c>
      <c r="C19" s="12" t="s">
        <v>197</v>
      </c>
      <c r="D19" s="14" t="n">
        <v>7500</v>
      </c>
      <c r="E19" s="12" t="s">
        <v>198</v>
      </c>
      <c r="F19" s="12" t="s">
        <v>18</v>
      </c>
      <c r="G19" s="1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2.05" hidden="false" customHeight="false" outlineLevel="0" collapsed="false">
      <c r="A1" s="9" t="s">
        <v>199</v>
      </c>
    </row>
    <row r="2" customFormat="false" ht="15" hidden="false" customHeight="false" outlineLevel="0" collapsed="false">
      <c r="A2" s="3" t="s">
        <v>200</v>
      </c>
    </row>
    <row r="4" customFormat="false" ht="15" hidden="false" customHeight="false" outlineLevel="0" collapsed="false">
      <c r="A4" s="5" t="s">
        <v>201</v>
      </c>
    </row>
    <row r="5" customFormat="false" ht="15" hidden="false" customHeight="false" outlineLevel="0" collapsed="false">
      <c r="A5" s="3" t="s">
        <v>202</v>
      </c>
      <c r="B5" s="7" t="n">
        <v>20</v>
      </c>
    </row>
    <row r="6" customFormat="false" ht="15" hidden="false" customHeight="false" outlineLevel="0" collapsed="false">
      <c r="A6" s="3" t="s">
        <v>203</v>
      </c>
      <c r="B6" s="7" t="n">
        <v>2</v>
      </c>
    </row>
    <row r="7" customFormat="false" ht="15" hidden="false" customHeight="false" outlineLevel="0" collapsed="false">
      <c r="A7" s="3" t="s">
        <v>204</v>
      </c>
      <c r="B7" s="7" t="n">
        <v>2</v>
      </c>
    </row>
    <row r="8" customFormat="false" ht="15" hidden="false" customHeight="false" outlineLevel="0" collapsed="false">
      <c r="A8" s="3" t="s">
        <v>205</v>
      </c>
      <c r="B8" s="7" t="n">
        <v>16</v>
      </c>
    </row>
    <row r="10" customFormat="false" ht="15" hidden="false" customHeight="false" outlineLevel="0" collapsed="false">
      <c r="A10" s="5" t="s">
        <v>206</v>
      </c>
    </row>
    <row r="11" customFormat="false" ht="15" hidden="false" customHeight="false" outlineLevel="0" collapsed="false">
      <c r="A11" s="3" t="s">
        <v>202</v>
      </c>
      <c r="B11" s="7" t="n">
        <v>20</v>
      </c>
    </row>
    <row r="12" customFormat="false" ht="15" hidden="false" customHeight="false" outlineLevel="0" collapsed="false">
      <c r="A12" s="3" t="s">
        <v>203</v>
      </c>
      <c r="B12" s="7" t="n">
        <v>2</v>
      </c>
    </row>
    <row r="13" customFormat="false" ht="15" hidden="false" customHeight="false" outlineLevel="0" collapsed="false">
      <c r="A13" s="3" t="s">
        <v>204</v>
      </c>
      <c r="B13" s="7" t="n">
        <v>2</v>
      </c>
    </row>
    <row r="14" customFormat="false" ht="15" hidden="false" customHeight="false" outlineLevel="0" collapsed="false">
      <c r="A14" s="3" t="s">
        <v>205</v>
      </c>
      <c r="B14" s="7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2026-07-29T14:55:55Z</dcterms:created>
  <dc:creator>openpyxl</dc:creator>
  <dc:description/>
  <dc:language>en-US</dc:language>
  <cp:lastModifiedBy/>
  <dcterms:modified xsi:type="dcterms:W3CDTF">2026-07-29T14:56:02Z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